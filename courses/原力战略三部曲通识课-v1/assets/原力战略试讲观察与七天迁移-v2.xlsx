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dfd50bbde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级总览" sheetId="1" r:id="R6b0bda2d207d4886"/>
    <x:sheet xmlns:r="http://schemas.openxmlformats.org/officeDocument/2006/relationships" name="学员评分" sheetId="2" r:id="R12f0b2e63c6c4621"/>
    <x:sheet xmlns:r="http://schemas.openxmlformats.org/officeDocument/2006/relationships" name="节奏观察" sheetId="3" r:id="Re37fe71586ec4afa"/>
    <x:sheet xmlns:r="http://schemas.openxmlformats.org/officeDocument/2006/relationships" name="七天迁移" sheetId="4" r:id="Rf9ecba65920041a5"/>
    <x:sheet xmlns:r="http://schemas.openxmlformats.org/officeDocument/2006/relationships" name="说明" sheetId="5" r:id="R53824aa8c08a4903"/>
  </x:sheets>
</x:workbook>
</file>

<file path=xl/comments1.xml><?xml version="1.0" encoding="utf-8"?>
<x:comments xmlns:x="http://schemas.openxmlformats.org/spreadsheetml/2006/main">
  <x:authors>
    <x:author>tc={F6AB8F7C-83F3-629B-CD5A-7FA58AFE7996}</x:author>
  </x:authors>
  <x:commentList>
    <x:comment ref="K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指标状态只反映公式门，不代表 live_trial_pass；真实课堂、授权与人工裁决仍需单独完成。 </x:t>
        </x:r>
      </x:text>
    </x:comment>
  </x:commentList>
</x:comments>
</file>

<file path=xl/comments2.xml><?xml version="1.0" encoding="utf-8"?>
<x:comments xmlns:x="http://schemas.openxmlformats.org/spreadsheetml/2006/main">
  <x:authors>
    <x:author>tc={78E30CD1-0B9E-BF1B-C58B-7EDEC229FF6A}</x:author>
  </x:authors>
  <x:commentList>
    <x:comment ref="F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两条事实只有达到 2 分才计入两事实达标率。 </x:t>
        </x:r>
      </x:text>
    </x:comment>
  </x:commentList>
</x:comments>
</file>

<file path=xl/comments3.xml><?xml version="1.0" encoding="utf-8"?>
<x:comments xmlns:x="http://schemas.openxmlformats.org/spreadsheetml/2006/main">
  <x:authors>
    <x:author>tc={C0D0C650-661B-2878-1A93-57DA58D742D7}</x:author>
  </x:authors>
  <x:commentList>
    <x:comment ref="F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不得填写姓名、公司、客户、收入、原始录音地址或其他可识别信息。 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3201C"/>
      <x:name val="Carlito"/>
    </x:font>
    <x:font>
      <x:b/>
      <x:sz val="11"/>
      <x:color rgb="FF2E74B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82D24"/>
      </x:patternFill>
    </x:fill>
    <x:fill>
      <x:patternFill patternType="solid">
        <x:fgColor rgb="FFFFF7E6"/>
      </x:patternFill>
    </x:fill>
    <x:fill>
      <x:patternFill patternType="solid">
        <x:fgColor rgb="FFE8EEF5"/>
      </x:patternFill>
    </x:fill>
    <x:fill>
      <x:patternFill patternType="solid">
        <x:fgColor rgb="FF17463A"/>
      </x:patternFill>
    </x:fill>
  </x:fills>
  <x:borders count="4">
    <x:border/>
    <x:border>
      <x:left style="thin">
        <x:color rgb="FFD7DED9"/>
      </x:left>
      <x:right style="thin">
        <x:color rgb="FFD7DED9"/>
      </x:right>
      <x:top style="thin">
        <x:color rgb="FFD7DED9"/>
      </x:top>
      <x:bottom style="thin">
        <x:color rgb="FFD7DED9"/>
      </x:bottom>
    </x:border>
    <x:border>
      <x:bottom style="thin">
        <x:color rgb="FFD7DED9"/>
      </x:bottom>
    </x:border>
    <x:border>
      <x:top style="thin">
        <x:color rgb="FFD7DED9"/>
      </x:top>
      <x:bottom style="thin">
        <x:color rgb="FFD7DE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 wrapText="1"/>
    </x:xf>
    <x:xf numFmtId="200" fontId="2" fillId="3" borderId="3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1" fontId="2" fillId="0" borderId="3" xfId="0" applyNumberFormat="1" applyFont="1" applyFill="1" applyBorder="1" applyAlignment="1">
      <x:alignment vertical="center" wrapText="1"/>
    </x:xf>
    <x:xf numFmtId="201" fontId="2" fillId="3" borderId="3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1" fontId="2" fillId="3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082D24"/>
      </x:font>
      <x:fill>
        <x:patternFill patternType="solid">
          <x:bgColor rgb="FFE8F0EC"/>
        </x:patternFill>
      </x:fill>
    </x:dxf>
    <x:dxf>
      <x:font>
        <x:b/>
        <x:color rgb="FF082D24"/>
      </x:font>
      <x:fill>
        <x:patternFill patternType="solid">
          <x:bgColor rgb="FFE8F0EC"/>
        </x:patternFill>
      </x:fill>
    </x:dxf>
    <x:dxf>
      <x:font>
        <x:b/>
        <x:color rgb="FF082D24"/>
      </x:font>
      <x:fill>
        <x:patternFill patternType="solid">
          <x:bgColor rgb="FFE8F0EC"/>
        </x:patternFill>
      </x:fill>
    </x:dxf>
    <x:dxf>
      <x:font>
        <x:b/>
        <x:color rgb="FF082D24"/>
      </x:font>
      <x:fill>
        <x:patternFill patternType="solid">
          <x:bgColor rgb="FFE8F0EC"/>
        </x:patternFill>
      </x:fill>
    </x:dxf>
    <x:dxf>
      <x:font>
        <x:b/>
        <x:color rgb="FFC74B50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711af172341d5" /><Relationship Type="http://schemas.openxmlformats.org/officeDocument/2006/relationships/theme" Target="/xl/theme/theme1.xml" Id="Re5b8763cf2ab49f2" /><Relationship Type="http://schemas.openxmlformats.org/officeDocument/2006/relationships/sharedStrings" Target="/xl/sharedStrings.xml" Id="R556843c613404017" /><Relationship Type="http://schemas.openxmlformats.org/officeDocument/2006/relationships/worksheet" Target="/xl/worksheets/sheet1.xml" Id="R6b0bda2d207d4886" /><Relationship Type="http://schemas.openxmlformats.org/officeDocument/2006/relationships/worksheet" Target="/xl/worksheets/sheet2.xml" Id="R12f0b2e63c6c4621" /><Relationship Type="http://schemas.openxmlformats.org/officeDocument/2006/relationships/worksheet" Target="/xl/worksheets/sheet3.xml" Id="Re37fe71586ec4afa" /><Relationship Type="http://schemas.openxmlformats.org/officeDocument/2006/relationships/worksheet" Target="/xl/worksheets/sheet4.xml" Id="Rf9ecba65920041a5" /><Relationship Type="http://schemas.openxmlformats.org/officeDocument/2006/relationships/worksheet" Target="/xl/worksheets/sheet5.xml" Id="R53824aa8c08a4903" /><Relationship Type="http://schemas.microsoft.com/office/2017/10/relationships/person" Target="/xl/persons/person.xml" Id="R700ae7e70baf43f4" /></Relationships>
</file>

<file path=xl/persons/person.xml><?xml version="1.0" encoding="utf-8"?>
<xltc:personList xmlns:xltc="http://schemas.microsoft.com/office/spreadsheetml/2018/threadedcomments">
  <xltc:person displayName="明哥" id="{6501E57B-E2C0-4BF0-A5BA-28881EFD7AD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K4" dT="2026-07-28T11:32:18.019" personId="{6501E57B-E2C0-4BF0-A5BA-28881EFD7AD1}" id="{F6AB8F7C-83F3-629B-CD5A-7FA58AFE7996}">
    <xltc:text>指标状态只反映公式门，不代表 live_trial_pass；真实课堂、授权与人工裁决仍需单独完成。 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F4" dT="2026-07-28T11:32:18.036" personId="{6501E57B-E2C0-4BF0-A5BA-28881EFD7AD1}" id="{78E30CD1-0B9E-BF1B-C58B-7EDEC229FF6A}">
    <xltc:text>两条事实只有达到 2 分才计入两事实达标率。 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F4" dT="2026-07-28T11:32:18.05" personId="{6501E57B-E2C0-4BF0-A5BA-28881EFD7AD1}" id="{C0D0C650-661B-2878-1A93-57DA58D742D7}">
    <xltc:text>不得填写姓名、公司、客户、收入、原始录音地址或其他可识别信息。 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39ae8259ee1486d" /><Relationship Type="http://schemas.openxmlformats.org/officeDocument/2006/relationships/vmlDrawing" Target="/xl/drawings/vmldrawing.vml" Id="R98cd1fb8000a43b2" /><Relationship Type="http://schemas.microsoft.com/office/2017/10/relationships/threadedComment" Target="/xl/threadedcomments/threadedcomment.xml" Id="R4b31ae4a2dc14b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8534a893b16c4022" /><Relationship Type="http://schemas.openxmlformats.org/officeDocument/2006/relationships/vmlDrawing" Target="/xl/drawings/vmldrawing2.vml" Id="Rc0573b8669824920" /><Relationship Type="http://schemas.microsoft.com/office/2017/10/relationships/threadedComment" Target="/xl/threadedcomments/threadedcomment2.xml" Id="R50b42ca5957442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acce89816d074242" /><Relationship Type="http://schemas.openxmlformats.org/officeDocument/2006/relationships/vmlDrawing" Target="/xl/drawings/vmldrawing3.vml" Id="Rd3bfda6f76594874" /><Relationship Type="http://schemas.microsoft.com/office/2017/10/relationships/threadedComment" Target="/xl/threadedcomments/threadedcomment3.xml" Id="R082d58b66d7044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7" hidden="0" customWidth="1"/>
    <x:col min="12" max="12" width="14" hidden="0" customWidth="1"/>
    <x:col min="13" max="13" width="14" hidden="0" customWidth="1"/>
  </x:cols>
  <x:sheetData>
    <x:row r="1" ht="32" customHeight="1">
      <x:c r="A1" s="3" t="str">
        <x:v>原力战略试讲总览 v2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真实课堂状态仍为 live_trial_pending；SYNTHETIC_DEMO 只验证公式，不计入任何真实验收。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班级</x:v>
      </x:c>
      <x:c r="B4" s="13" t="str">
        <x:v>数据口径</x:v>
      </x:c>
      <x:c r="C4" s="13" t="str">
        <x:v>目标人数</x:v>
      </x:c>
      <x:c r="D4" s="13" t="str">
        <x:v>实际记录数</x:v>
      </x:c>
      <x:c r="E4" s="13" t="str">
        <x:v>两事实达标人数</x:v>
      </x:c>
      <x:c r="F4" s="13" t="str">
        <x:v>两事实率</x:v>
      </x:c>
      <x:c r="G4" s="13" t="str">
        <x:v>8/10 人数</x:v>
      </x:c>
      <x:c r="H4" s="13" t="str">
        <x:v>8/10 达标率</x:v>
      </x:c>
      <x:c r="I4" s="13" t="str">
        <x:v>七天有效人数</x:v>
      </x:c>
      <x:c r="J4" s="13" t="str">
        <x:v>七天有效率</x:v>
      </x:c>
      <x:c r="K4" s="13" t="str">
        <x:v>指标状态</x:v>
      </x:c>
      <x:c r="L4" s="13" t="str">
        <x:v>工作坊日期</x:v>
      </x:c>
      <x:c r="M4" s="13" t="str">
        <x:v>七天截止</x:v>
      </x:c>
    </x:row>
    <x:row r="5">
      <x:c r="A5" s="19" t="str">
        <x:v>第一班</x:v>
      </x:c>
      <x:c r="B5" s="19" t="str">
        <x:v>real_anonymous</x:v>
      </x:c>
      <x:c r="C5" s="19" t="n">
        <x:v>12</x:v>
      </x:c>
      <x:c r="D5" s="19" t="n">
        <x:f>COUNTIFS('学员评分'!$A$5:$A$31,$B5,'学员评分'!$B$5:$B$31,$A5,'学员评分'!$C$5:$C$31,"&lt;&gt;")</x:f>
        <x:v>0</x:v>
      </x:c>
      <x:c r="E5" s="19" t="n">
        <x:f>COUNTIFS('学员评分'!$A$5:$A$31,$B5,'学员评分'!$B$5:$B$31,$A5,'学员评分'!$K$5:$K$31,"是")</x:f>
        <x:v>0</x:v>
      </x:c>
      <x:c r="F5" s="22" t="str">
        <x:f>IF(D5=0,"",E5/D5)</x:f>
      </x:c>
      <x:c r="G5" s="19" t="n">
        <x:f>COUNTIFS('学员评分'!$A$5:$A$31,$B5,'学员评分'!$B$5:$B$31,$A5,'学员评分'!$L$5:$L$31,"是")</x:f>
        <x:v>0</x:v>
      </x:c>
      <x:c r="H5" s="22" t="str">
        <x:f>IF(D5=0,"",G5/D5)</x:f>
      </x:c>
      <x:c r="I5" s="19" t="n">
        <x:f>COUNTIFS('七天迁移'!$A$5:$A$31,$B5,'七天迁移'!$B$5:$B$31,$A5,'七天迁移'!$J$5:$J$31,"是")</x:f>
        <x:v>0</x:v>
      </x:c>
      <x:c r="J5" s="22" t="str">
        <x:f>IF(D5=0,"",I5/D5)</x:f>
      </x:c>
      <x:c r="K5" s="19" t="str">
        <x:f>IF(B5="synthetic_example","synthetic_only",IF(D5=0,"not_run",IF(OR(D5&lt;8,D5&gt;12),"sample_out_of_range",IF(AND(F5&gt;=0.8,H5&gt;=0.7,J5&gt;=0.5),"metrics_met_pending_human","metrics_below_threshold"))))</x:f>
        <x:v>not_run</x:v>
      </x:c>
      <x:c r="L5" s="25"/>
      <x:c r="M5" s="25" t="str">
        <x:f>IF(L5="","",L5+7)</x:f>
      </x:c>
    </x:row>
    <x:row r="6">
      <x:c r="A6" s="20" t="str">
        <x:v>第二班</x:v>
      </x:c>
      <x:c r="B6" s="20" t="str">
        <x:v>real_anonymous</x:v>
      </x:c>
      <x:c r="C6" s="20" t="n">
        <x:v>12</x:v>
      </x:c>
      <x:c r="D6" s="20" t="n">
        <x:f>COUNTIFS('学员评分'!$A$5:$A$31,$B6,'学员评分'!$B$5:$B$31,$A6,'学员评分'!$C$5:$C$31,"&lt;&gt;")</x:f>
        <x:v>0</x:v>
      </x:c>
      <x:c r="E6" s="20" t="n">
        <x:f>COUNTIFS('学员评分'!$A$5:$A$31,$B6,'学员评分'!$B$5:$B$31,$A6,'学员评分'!$K$5:$K$31,"是")</x:f>
        <x:v>0</x:v>
      </x:c>
      <x:c r="F6" s="23" t="str">
        <x:f>IF(D6=0,"",E6/D6)</x:f>
      </x:c>
      <x:c r="G6" s="20" t="n">
        <x:f>COUNTIFS('学员评分'!$A$5:$A$31,$B6,'学员评分'!$B$5:$B$31,$A6,'学员评分'!$L$5:$L$31,"是")</x:f>
        <x:v>0</x:v>
      </x:c>
      <x:c r="H6" s="23" t="str">
        <x:f>IF(D6=0,"",G6/D6)</x:f>
      </x:c>
      <x:c r="I6" s="20" t="n">
        <x:f>COUNTIFS('七天迁移'!$A$5:$A$31,$B6,'七天迁移'!$B$5:$B$31,$A6,'七天迁移'!$J$5:$J$31,"是")</x:f>
        <x:v>0</x:v>
      </x:c>
      <x:c r="J6" s="23" t="str">
        <x:f>IF(D6=0,"",I6/D6)</x:f>
      </x:c>
      <x:c r="K6" s="20" t="str">
        <x:f>IF(B6="synthetic_example","synthetic_only",IF(D6=0,"not_run",IF(OR(D6&lt;8,D6&gt;12),"sample_out_of_range",IF(AND(F6&gt;=0.8,H6&gt;=0.7,J6&gt;=0.5),"metrics_met_pending_human","metrics_below_threshold"))))</x:f>
        <x:v>not_run</x:v>
      </x:c>
      <x:c r="L6" s="26"/>
      <x:c r="M6" s="26" t="str">
        <x:f>IF(L6="","",L6+7)</x:f>
      </x:c>
    </x:row>
    <x:row r="7">
      <x:c r="A7" s="21" t="str">
        <x:v>SYNTHETIC_DEMO</x:v>
      </x:c>
      <x:c r="B7" s="21" t="str">
        <x:v>synthetic_example</x:v>
      </x:c>
      <x:c r="C7" s="21" t="n">
        <x:v>3</x:v>
      </x:c>
      <x:c r="D7" s="21" t="n">
        <x:f>COUNTIFS('学员评分'!$A$5:$A$31,$B7,'学员评分'!$B$5:$B$31,$A7,'学员评分'!$C$5:$C$31,"&lt;&gt;")</x:f>
        <x:v>3</x:v>
      </x:c>
      <x:c r="E7" s="21" t="n">
        <x:f>COUNTIFS('学员评分'!$A$5:$A$31,$B7,'学员评分'!$B$5:$B$31,$A7,'学员评分'!$K$5:$K$31,"是")</x:f>
        <x:v>2</x:v>
      </x:c>
      <x:c r="F7" s="24" t="n">
        <x:f>IF(D7=0,"",E7/D7)</x:f>
        <x:v>0.6666666666666666</x:v>
      </x:c>
      <x:c r="G7" s="21" t="n">
        <x:f>COUNTIFS('学员评分'!$A$5:$A$31,$B7,'学员评分'!$B$5:$B$31,$A7,'学员评分'!$L$5:$L$31,"是")</x:f>
        <x:v>2</x:v>
      </x:c>
      <x:c r="H7" s="24" t="n">
        <x:f>IF(D7=0,"",G7/D7)</x:f>
        <x:v>0.6666666666666666</x:v>
      </x:c>
      <x:c r="I7" s="21" t="n">
        <x:f>COUNTIFS('七天迁移'!$A$5:$A$31,$B7,'七天迁移'!$B$5:$B$31,$A7,'七天迁移'!$J$5:$J$31,"是")</x:f>
        <x:v>1</x:v>
      </x:c>
      <x:c r="J7" s="24" t="n">
        <x:f>IF(D7=0,"",I7/D7)</x:f>
        <x:v>0.3333333333333333</x:v>
      </x:c>
      <x:c r="K7" s="21" t="str">
        <x:f>IF(B7="synthetic_example","synthetic_only",IF(D7=0,"not_run",IF(OR(D7&lt;8,D7&gt;12),"sample_out_of_range",IF(AND(F7&gt;=0.8,H7&gt;=0.7,J7&gt;=0.5),"metrics_met_pending_human","metrics_below_threshold"))))</x:f>
        <x:v>synthetic_only</x:v>
      </x:c>
      <x:c r="L7" s="27" t="n">
        <x:v>46223</x:v>
      </x:c>
      <x:c r="M7" s="27" t="n">
        <x:f>IF(L7="","",L7+7)</x:f>
        <x:v>46230</x:v>
      </x:c>
    </x:row>
  </x:sheetData>
  <x:mergeCells>
    <x:mergeCell ref="A1:M1"/>
    <x:mergeCell ref="A2:M2"/>
  </x:mergeCells>
  <x:conditionalFormatting sqref="F5:F7">
    <x:cfRule type="cellIs" dxfId="0" priority="1" operator="greaterThanOrEqual">
      <x:formula>0.8</x:formula>
    </x:cfRule>
  </x:conditionalFormatting>
  <x:conditionalFormatting sqref="H5:H7">
    <x:cfRule type="cellIs" dxfId="1" priority="2" operator="greaterThanOrEqual">
      <x:formula>0.7</x:formula>
    </x:cfRule>
  </x:conditionalFormatting>
  <x:conditionalFormatting sqref="J5:J7">
    <x:cfRule type="cellIs" dxfId="2" priority="3" operator="greaterThanOrEqual">
      <x:formula>0.5</x:formula>
    </x:cfRule>
  </x:conditionalFormatting>
  <x:pageMargins left="0.7" right="0.7" top="0.75" bottom="0.75" header="0.3" footer="0.3"/>
  <x:legacyDrawing xmlns:r="http://schemas.openxmlformats.org/officeDocument/2006/relationships" r:id="R98cd1fb8000a43b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4" hidden="0" customWidth="1"/>
    <x:col min="4" max="4" width="11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 ht="32" customHeight="1">
      <x:c r="A1" s="3" t="str">
        <x:v>起点卡评分记录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仅保存匿名 ID。第 5–7 行是 synthetic_example，用于公式 smoke；第 8–31 行为空白真实记录模板。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13" t="str">
        <x:v>记录类型</x:v>
      </x:c>
      <x:c r="B4" s="13" t="str">
        <x:v>班级</x:v>
      </x:c>
      <x:c r="C4" s="13" t="str">
        <x:v>匿名 ID</x:v>
      </x:c>
      <x:c r="D4" s="13" t="str">
        <x:v>主卡点</x:v>
      </x:c>
      <x:c r="E4" s="13" t="str">
        <x:v>主卡点唯一</x:v>
      </x:c>
      <x:c r="F4" s="13" t="str">
        <x:v>两条事实</x:v>
      </x:c>
      <x:c r="G4" s="13" t="str">
        <x:v>概念使用</x:v>
      </x:c>
      <x:c r="H4" s="13" t="str">
        <x:v>反证信号</x:v>
      </x:c>
      <x:c r="I4" s="13" t="str">
        <x:v>30 天行动</x:v>
      </x:c>
      <x:c r="J4" s="13" t="str">
        <x:v>总分</x:v>
      </x:c>
      <x:c r="K4" s="13" t="str">
        <x:v>两事实达标</x:v>
      </x:c>
      <x:c r="L4" s="13" t="str">
        <x:v>8/10 达标</x:v>
      </x:c>
      <x:c r="M4" s="13" t="str">
        <x:v>纳入真实验收</x:v>
      </x:c>
    </x:row>
    <x:row r="5">
      <x:c r="A5" s="28" t="str">
        <x:v>synthetic_example</x:v>
      </x:c>
      <x:c r="B5" s="28" t="str">
        <x:v>SYNTHETIC_DEMO</x:v>
      </x:c>
      <x:c r="C5" s="28" t="str">
        <x:v>SYN-01</x:v>
      </x:c>
      <x:c r="D5" s="28" t="str">
        <x:v>A</x:v>
      </x:c>
      <x:c r="E5" s="28" t="n">
        <x:v>2</x:v>
      </x:c>
      <x:c r="F5" s="28" t="n">
        <x:v>2</x:v>
      </x:c>
      <x:c r="G5" s="28" t="n">
        <x:v>2</x:v>
      </x:c>
      <x:c r="H5" s="28" t="n">
        <x:v>1</x:v>
      </x:c>
      <x:c r="I5" s="28" t="n">
        <x:v>2</x:v>
      </x:c>
      <x:c r="J5" s="28" t="n">
        <x:f>IF(C5="","",SUM(E5:I5))</x:f>
        <x:v>9</x:v>
      </x:c>
      <x:c r="K5" s="28" t="str">
        <x:f>IF(C5="","",IF(F5=2,"是","否"))</x:f>
        <x:v>是</x:v>
      </x:c>
      <x:c r="L5" s="28" t="str">
        <x:f>IF(C5="","",IF(J5&gt;=8,"是","否"))</x:f>
        <x:v>是</x:v>
      </x:c>
      <x:c r="M5" s="28" t="str">
        <x:f>IF(A5="","",IF(A5="real_anonymous","是","否"))</x:f>
        <x:v>否</x:v>
      </x:c>
    </x:row>
    <x:row r="6">
      <x:c r="A6" s="21" t="str">
        <x:v>synthetic_example</x:v>
      </x:c>
      <x:c r="B6" s="21" t="str">
        <x:v>SYNTHETIC_DEMO</x:v>
      </x:c>
      <x:c r="C6" s="21" t="str">
        <x:v>SYN-02</x:v>
      </x:c>
      <x:c r="D6" s="21" t="str">
        <x:v>B</x:v>
      </x:c>
      <x:c r="E6" s="21" t="n">
        <x:v>2</x:v>
      </x:c>
      <x:c r="F6" s="21" t="n">
        <x:v>2</x:v>
      </x:c>
      <x:c r="G6" s="21" t="n">
        <x:v>1</x:v>
      </x:c>
      <x:c r="H6" s="21" t="n">
        <x:v>2</x:v>
      </x:c>
      <x:c r="I6" s="21" t="n">
        <x:v>2</x:v>
      </x:c>
      <x:c r="J6" s="21" t="n">
        <x:f>IF(C6="","",SUM(E6:I6))</x:f>
        <x:v>9</x:v>
      </x:c>
      <x:c r="K6" s="21" t="str">
        <x:f>IF(C6="","",IF(F6=2,"是","否"))</x:f>
        <x:v>是</x:v>
      </x:c>
      <x:c r="L6" s="21" t="str">
        <x:f>IF(C6="","",IF(J6&gt;=8,"是","否"))</x:f>
        <x:v>是</x:v>
      </x:c>
      <x:c r="M6" s="21" t="str">
        <x:f>IF(A6="","",IF(A6="real_anonymous","是","否"))</x:f>
        <x:v>否</x:v>
      </x:c>
    </x:row>
    <x:row r="7">
      <x:c r="A7" s="21" t="str">
        <x:v>synthetic_example</x:v>
      </x:c>
      <x:c r="B7" s="21" t="str">
        <x:v>SYNTHETIC_DEMO</x:v>
      </x:c>
      <x:c r="C7" s="21" t="str">
        <x:v>SYN-03</x:v>
      </x:c>
      <x:c r="D7" s="21" t="str">
        <x:v>C</x:v>
      </x:c>
      <x:c r="E7" s="21" t="n">
        <x:v>1</x:v>
      </x:c>
      <x:c r="F7" s="21" t="n">
        <x:v>1</x:v>
      </x:c>
      <x:c r="G7" s="21" t="n">
        <x:v>2</x:v>
      </x:c>
      <x:c r="H7" s="21" t="n">
        <x:v>1</x:v>
      </x:c>
      <x:c r="I7" s="21" t="n">
        <x:v>2</x:v>
      </x:c>
      <x:c r="J7" s="21" t="n">
        <x:f>IF(C7="","",SUM(E7:I7))</x:f>
        <x:v>7</x:v>
      </x:c>
      <x:c r="K7" s="21" t="str">
        <x:f>IF(C7="","",IF(F7=2,"是","否"))</x:f>
        <x:v>否</x:v>
      </x:c>
      <x:c r="L7" s="21" t="str">
        <x:f>IF(C7="","",IF(J7&gt;=8,"是","否"))</x:f>
        <x:v>否</x:v>
      </x:c>
      <x:c r="M7" s="21" t="str">
        <x:f>IF(A7="","",IF(A7="real_anonymous","是","否"))</x:f>
        <x:v>否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 t="str">
        <x:f>IF(C8="","",SUM(E8:I8))</x:f>
      </x:c>
      <x:c r="K8" s="20" t="str">
        <x:f>IF(C8="","",IF(F8=2,"是","否"))</x:f>
      </x:c>
      <x:c r="L8" s="20" t="str">
        <x:f>IF(C8="","",IF(J8&gt;=8,"是","否"))</x:f>
      </x:c>
      <x:c r="M8" s="20" t="str">
        <x:f>IF(A8="","",IF(A8="real_anonymous","是","否"))</x:f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 t="str">
        <x:f>IF(C9="","",SUM(E9:I9))</x:f>
      </x:c>
      <x:c r="K9" s="20" t="str">
        <x:f>IF(C9="","",IF(F9=2,"是","否"))</x:f>
      </x:c>
      <x:c r="L9" s="20" t="str">
        <x:f>IF(C9="","",IF(J9&gt;=8,"是","否"))</x:f>
      </x:c>
      <x:c r="M9" s="20" t="str">
        <x:f>IF(A9="","",IF(A9="real_anonymous","是","否"))</x:f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 t="str">
        <x:f>IF(C10="","",SUM(E10:I10))</x:f>
      </x:c>
      <x:c r="K10" s="20" t="str">
        <x:f>IF(C10="","",IF(F10=2,"是","否"))</x:f>
      </x:c>
      <x:c r="L10" s="20" t="str">
        <x:f>IF(C10="","",IF(J10&gt;=8,"是","否"))</x:f>
      </x:c>
      <x:c r="M10" s="20" t="str">
        <x:f>IF(A10="","",IF(A10="real_anonymous","是","否"))</x:f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 t="str">
        <x:f>IF(C11="","",SUM(E11:I11))</x:f>
      </x:c>
      <x:c r="K11" s="20" t="str">
        <x:f>IF(C11="","",IF(F11=2,"是","否"))</x:f>
      </x:c>
      <x:c r="L11" s="20" t="str">
        <x:f>IF(C11="","",IF(J11&gt;=8,"是","否"))</x:f>
      </x:c>
      <x:c r="M11" s="20" t="str">
        <x:f>IF(A11="","",IF(A11="real_anonymous","是","否"))</x:f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 t="str">
        <x:f>IF(C12="","",SUM(E12:I12))</x:f>
      </x:c>
      <x:c r="K12" s="20" t="str">
        <x:f>IF(C12="","",IF(F12=2,"是","否"))</x:f>
      </x:c>
      <x:c r="L12" s="20" t="str">
        <x:f>IF(C12="","",IF(J12&gt;=8,"是","否"))</x:f>
      </x:c>
      <x:c r="M12" s="20" t="str">
        <x:f>IF(A12="","",IF(A12="real_anonymous","是","否"))</x:f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 t="str">
        <x:f>IF(C13="","",SUM(E13:I13))</x:f>
      </x:c>
      <x:c r="K13" s="20" t="str">
        <x:f>IF(C13="","",IF(F13=2,"是","否"))</x:f>
      </x:c>
      <x:c r="L13" s="20" t="str">
        <x:f>IF(C13="","",IF(J13&gt;=8,"是","否"))</x:f>
      </x:c>
      <x:c r="M13" s="20" t="str">
        <x:f>IF(A13="","",IF(A13="real_anonymous","是","否"))</x:f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 t="str">
        <x:f>IF(C14="","",SUM(E14:I14))</x:f>
      </x:c>
      <x:c r="K14" s="20" t="str">
        <x:f>IF(C14="","",IF(F14=2,"是","否"))</x:f>
      </x:c>
      <x:c r="L14" s="20" t="str">
        <x:f>IF(C14="","",IF(J14&gt;=8,"是","否"))</x:f>
      </x:c>
      <x:c r="M14" s="20" t="str">
        <x:f>IF(A14="","",IF(A14="real_anonymous","是","否"))</x:f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 t="str">
        <x:f>IF(C15="","",SUM(E15:I15))</x:f>
      </x:c>
      <x:c r="K15" s="20" t="str">
        <x:f>IF(C15="","",IF(F15=2,"是","否"))</x:f>
      </x:c>
      <x:c r="L15" s="20" t="str">
        <x:f>IF(C15="","",IF(J15&gt;=8,"是","否"))</x:f>
      </x:c>
      <x:c r="M15" s="20" t="str">
        <x:f>IF(A15="","",IF(A15="real_anonymous","是","否"))</x:f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 t="str">
        <x:f>IF(C16="","",SUM(E16:I16))</x:f>
      </x:c>
      <x:c r="K16" s="20" t="str">
        <x:f>IF(C16="","",IF(F16=2,"是","否"))</x:f>
      </x:c>
      <x:c r="L16" s="20" t="str">
        <x:f>IF(C16="","",IF(J16&gt;=8,"是","否"))</x:f>
      </x:c>
      <x:c r="M16" s="20" t="str">
        <x:f>IF(A16="","",IF(A16="real_anonymous","是","否"))</x:f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 t="str">
        <x:f>IF(C17="","",SUM(E17:I17))</x:f>
      </x:c>
      <x:c r="K17" s="20" t="str">
        <x:f>IF(C17="","",IF(F17=2,"是","否"))</x:f>
      </x:c>
      <x:c r="L17" s="20" t="str">
        <x:f>IF(C17="","",IF(J17&gt;=8,"是","否"))</x:f>
      </x:c>
      <x:c r="M17" s="20" t="str">
        <x:f>IF(A17="","",IF(A17="real_anonymous","是","否"))</x:f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 t="str">
        <x:f>IF(C18="","",SUM(E18:I18))</x:f>
      </x:c>
      <x:c r="K18" s="20" t="str">
        <x:f>IF(C18="","",IF(F18=2,"是","否"))</x:f>
      </x:c>
      <x:c r="L18" s="20" t="str">
        <x:f>IF(C18="","",IF(J18&gt;=8,"是","否"))</x:f>
      </x:c>
      <x:c r="M18" s="20" t="str">
        <x:f>IF(A18="","",IF(A18="real_anonymous","是","否"))</x:f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 t="str">
        <x:f>IF(C19="","",SUM(E19:I19))</x:f>
      </x:c>
      <x:c r="K19" s="20" t="str">
        <x:f>IF(C19="","",IF(F19=2,"是","否"))</x:f>
      </x:c>
      <x:c r="L19" s="20" t="str">
        <x:f>IF(C19="","",IF(J19&gt;=8,"是","否"))</x:f>
      </x:c>
      <x:c r="M19" s="20" t="str">
        <x:f>IF(A19="","",IF(A19="real_anonymous","是","否"))</x:f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 t="str">
        <x:f>IF(C20="","",SUM(E20:I20))</x:f>
      </x:c>
      <x:c r="K20" s="20" t="str">
        <x:f>IF(C20="","",IF(F20=2,"是","否"))</x:f>
      </x:c>
      <x:c r="L20" s="20" t="str">
        <x:f>IF(C20="","",IF(J20&gt;=8,"是","否"))</x:f>
      </x:c>
      <x:c r="M20" s="20" t="str">
        <x:f>IF(A20="","",IF(A20="real_anonymous","是","否"))</x:f>
      </x:c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 t="str">
        <x:f>IF(C21="","",SUM(E21:I21))</x:f>
      </x:c>
      <x:c r="K21" s="20" t="str">
        <x:f>IF(C21="","",IF(F21=2,"是","否"))</x:f>
      </x:c>
      <x:c r="L21" s="20" t="str">
        <x:f>IF(C21="","",IF(J21&gt;=8,"是","否"))</x:f>
      </x:c>
      <x:c r="M21" s="20" t="str">
        <x:f>IF(A21="","",IF(A21="real_anonymous","是","否"))</x:f>
      </x:c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 t="str">
        <x:f>IF(C22="","",SUM(E22:I22))</x:f>
      </x:c>
      <x:c r="K22" s="20" t="str">
        <x:f>IF(C22="","",IF(F22=2,"是","否"))</x:f>
      </x:c>
      <x:c r="L22" s="20" t="str">
        <x:f>IF(C22="","",IF(J22&gt;=8,"是","否"))</x:f>
      </x:c>
      <x:c r="M22" s="20" t="str">
        <x:f>IF(A22="","",IF(A22="real_anonymous","是","否"))</x:f>
      </x:c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 t="str">
        <x:f>IF(C23="","",SUM(E23:I23))</x:f>
      </x:c>
      <x:c r="K23" s="20" t="str">
        <x:f>IF(C23="","",IF(F23=2,"是","否"))</x:f>
      </x:c>
      <x:c r="L23" s="20" t="str">
        <x:f>IF(C23="","",IF(J23&gt;=8,"是","否"))</x:f>
      </x:c>
      <x:c r="M23" s="20" t="str">
        <x:f>IF(A23="","",IF(A23="real_anonymous","是","否"))</x:f>
      </x:c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 t="str">
        <x:f>IF(C24="","",SUM(E24:I24))</x:f>
      </x:c>
      <x:c r="K24" s="20" t="str">
        <x:f>IF(C24="","",IF(F24=2,"是","否"))</x:f>
      </x:c>
      <x:c r="L24" s="20" t="str">
        <x:f>IF(C24="","",IF(J24&gt;=8,"是","否"))</x:f>
      </x:c>
      <x:c r="M24" s="20" t="str">
        <x:f>IF(A24="","",IF(A24="real_anonymous","是","否"))</x:f>
      </x:c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 t="str">
        <x:f>IF(C25="","",SUM(E25:I25))</x:f>
      </x:c>
      <x:c r="K25" s="20" t="str">
        <x:f>IF(C25="","",IF(F25=2,"是","否"))</x:f>
      </x:c>
      <x:c r="L25" s="20" t="str">
        <x:f>IF(C25="","",IF(J25&gt;=8,"是","否"))</x:f>
      </x:c>
      <x:c r="M25" s="20" t="str">
        <x:f>IF(A25="","",IF(A25="real_anonymous","是","否"))</x:f>
      </x:c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 t="str">
        <x:f>IF(C26="","",SUM(E26:I26))</x:f>
      </x:c>
      <x:c r="K26" s="20" t="str">
        <x:f>IF(C26="","",IF(F26=2,"是","否"))</x:f>
      </x:c>
      <x:c r="L26" s="20" t="str">
        <x:f>IF(C26="","",IF(J26&gt;=8,"是","否"))</x:f>
      </x:c>
      <x:c r="M26" s="20" t="str">
        <x:f>IF(A26="","",IF(A26="real_anonymous","是","否"))</x:f>
      </x:c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 t="str">
        <x:f>IF(C27="","",SUM(E27:I27))</x:f>
      </x:c>
      <x:c r="K27" s="20" t="str">
        <x:f>IF(C27="","",IF(F27=2,"是","否"))</x:f>
      </x:c>
      <x:c r="L27" s="20" t="str">
        <x:f>IF(C27="","",IF(J27&gt;=8,"是","否"))</x:f>
      </x:c>
      <x:c r="M27" s="20" t="str">
        <x:f>IF(A27="","",IF(A27="real_anonymous","是","否"))</x:f>
      </x:c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 t="str">
        <x:f>IF(C28="","",SUM(E28:I28))</x:f>
      </x:c>
      <x:c r="K28" s="20" t="str">
        <x:f>IF(C28="","",IF(F28=2,"是","否"))</x:f>
      </x:c>
      <x:c r="L28" s="20" t="str">
        <x:f>IF(C28="","",IF(J28&gt;=8,"是","否"))</x:f>
      </x:c>
      <x:c r="M28" s="20" t="str">
        <x:f>IF(A28="","",IF(A28="real_anonymous","是","否"))</x:f>
      </x:c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 t="str">
        <x:f>IF(C29="","",SUM(E29:I29))</x:f>
      </x:c>
      <x:c r="K29" s="20" t="str">
        <x:f>IF(C29="","",IF(F29=2,"是","否"))</x:f>
      </x:c>
      <x:c r="L29" s="20" t="str">
        <x:f>IF(C29="","",IF(J29&gt;=8,"是","否"))</x:f>
      </x:c>
      <x:c r="M29" s="20" t="str">
        <x:f>IF(A29="","",IF(A29="real_anonymous","是","否"))</x:f>
      </x:c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 t="str">
        <x:f>IF(C30="","",SUM(E30:I30))</x:f>
      </x:c>
      <x:c r="K30" s="20" t="str">
        <x:f>IF(C30="","",IF(F30=2,"是","否"))</x:f>
      </x:c>
      <x:c r="L30" s="20" t="str">
        <x:f>IF(C30="","",IF(J30&gt;=8,"是","否"))</x:f>
      </x:c>
      <x:c r="M30" s="20" t="str">
        <x:f>IF(A30="","",IF(A30="real_anonymous","是","否"))</x:f>
      </x:c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 t="str">
        <x:f>IF(C31="","",SUM(E31:I31))</x:f>
      </x:c>
      <x:c r="K31" s="20" t="str">
        <x:f>IF(C31="","",IF(F31=2,"是","否"))</x:f>
      </x:c>
      <x:c r="L31" s="20" t="str">
        <x:f>IF(C31="","",IF(J31&gt;=8,"是","否"))</x:f>
      </x:c>
      <x:c r="M31" s="20" t="str">
        <x:f>IF(A31="","",IF(A31="real_anonymous","是","否"))</x:f>
      </x:c>
    </x:row>
  </x:sheetData>
  <x:mergeCells>
    <x:mergeCell ref="A1:M1"/>
    <x:mergeCell ref="A2:M2"/>
  </x:mergeCells>
  <x:conditionalFormatting sqref="J5:J31">
    <x:cfRule type="cellIs" dxfId="3" priority="1" operator="greaterThanOrEqual">
      <x:formula>8</x:formula>
    </x:cfRule>
  </x:conditionalFormatting>
  <x:dataValidations count="4">
    <x:dataValidation type="list" sqref="A5:A31">
      <x:formula1>"real_anonymous,synthetic_example"</x:formula1>
    </x:dataValidation>
    <x:dataValidation type="list" sqref="B5:B31">
      <x:formula1>"第一班,第二班,SYNTHETIC_DEMO"</x:formula1>
    </x:dataValidation>
    <x:dataValidation type="list" sqref="D5:D31">
      <x:formula1>"A,B,C"</x:formula1>
    </x:dataValidation>
    <x:dataValidation type="whole" operator="between" sqref="E5:I31">
      <x:formula1>0</x:formula1>
      <x:formula2>2</x:formula2>
    </x:dataValidation>
  </x:dataValidations>
  <x:pageMargins left="0.7" right="0.7" top="0.75" bottom="0.75" header="0.3" footer="0.3"/>
  <x:legacyDrawing xmlns:r="http://schemas.openxmlformats.org/officeDocument/2006/relationships" r:id="Rc0573b866982492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5" hidden="0" customWidth="1"/>
    <x:col min="11" max="11" width="28" hidden="0" customWidth="1"/>
  </x:cols>
  <x:sheetData>
    <x:row r="1" ht="32" customHeight="1">
      <x:c r="A1" s="3" t="str">
        <x:v>120 分钟节奏观察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计划分钟合计为 120；实测时间只在真实或明确桌面排练后填写，空白不自动判定为通过。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环节</x:v>
      </x:c>
      <x:c r="B4" s="13" t="str">
        <x:v>教学任务</x:v>
      </x:c>
      <x:c r="C4" s="13" t="str">
        <x:v>计划起</x:v>
      </x:c>
      <x:c r="D4" s="13" t="str">
        <x:v>计划止</x:v>
      </x:c>
      <x:c r="E4" s="13" t="str">
        <x:v>计划分钟</x:v>
      </x:c>
      <x:c r="F4" s="13" t="str">
        <x:v>实测起</x:v>
      </x:c>
      <x:c r="G4" s="13" t="str">
        <x:v>实测止</x:v>
      </x:c>
      <x:c r="H4" s="13" t="str">
        <x:v>实测分钟</x:v>
      </x:c>
      <x:c r="I4" s="13" t="str">
        <x:v>偏差</x:v>
      </x:c>
      <x:c r="J4" s="13" t="str">
        <x:v>节奏状态</x:v>
      </x:c>
      <x:c r="K4" s="13" t="str">
        <x:v>观察备注</x:v>
      </x:c>
    </x:row>
    <x:row r="5">
      <x:c r="A5" s="19" t="str">
        <x:v>S1</x:v>
      </x:c>
      <x:c r="B5" s="19" t="str">
        <x:v>学习承诺、小切口、边界</x:v>
      </x:c>
      <x:c r="C5" s="19" t="n">
        <x:v>0</x:v>
      </x:c>
      <x:c r="D5" s="19" t="n">
        <x:v>8</x:v>
      </x:c>
      <x:c r="E5" s="19" t="n">
        <x:v>8</x:v>
      </x:c>
      <x:c r="F5" s="19"/>
      <x:c r="G5" s="19"/>
      <x:c r="H5" s="19" t="str">
        <x:f>IF(OR(F5="",G5=""),"",G5-F5)</x:f>
      </x:c>
      <x:c r="I5" s="19" t="str">
        <x:f>IF(H5="","",H5-E5)</x:f>
      </x:c>
      <x:c r="J5" s="19" t="str">
        <x:f>IF(H5="","not_run",IF(ABS(I5)&lt;=2,"within_2m","review"))</x:f>
        <x:v>not_run</x:v>
      </x:c>
      <x:c r="K5" s="19"/>
    </x:row>
    <x:row r="6">
      <x:c r="A6" s="20" t="str">
        <x:v>S2</x:v>
      </x:c>
      <x:c r="B6" s="20" t="str">
        <x:v>AI 清算</x:v>
      </x:c>
      <x:c r="C6" s="20" t="n">
        <x:v>8</x:v>
      </x:c>
      <x:c r="D6" s="20" t="n">
        <x:v>20</x:v>
      </x:c>
      <x:c r="E6" s="20" t="n">
        <x:v>12</x:v>
      </x:c>
      <x:c r="F6" s="20"/>
      <x:c r="G6" s="20"/>
      <x:c r="H6" s="20" t="str">
        <x:f>IF(OR(F6="",G6=""),"",G6-F6)</x:f>
      </x:c>
      <x:c r="I6" s="20" t="str">
        <x:f>IF(H6="","",H6-E6)</x:f>
      </x:c>
      <x:c r="J6" s="20" t="str">
        <x:f>IF(H6="","not_run",IF(ABS(I6)&lt;=2,"within_2m","review"))</x:f>
        <x:v>not_run</x:v>
      </x:c>
      <x:c r="K6" s="20"/>
    </x:row>
    <x:row r="7">
      <x:c r="A7" s="20" t="str">
        <x:v>S3</x:v>
      </x:c>
      <x:c r="B7" s="20" t="str">
        <x:v>起点自诊断</x:v>
      </x:c>
      <x:c r="C7" s="20" t="n">
        <x:v>20</x:v>
      </x:c>
      <x:c r="D7" s="20" t="n">
        <x:v>32</x:v>
      </x:c>
      <x:c r="E7" s="20" t="n">
        <x:v>12</x:v>
      </x:c>
      <x:c r="F7" s="20"/>
      <x:c r="G7" s="20"/>
      <x:c r="H7" s="20" t="str">
        <x:f>IF(OR(F7="",G7=""),"",G7-F7)</x:f>
      </x:c>
      <x:c r="I7" s="20" t="str">
        <x:f>IF(H7="","",H7-E7)</x:f>
      </x:c>
      <x:c r="J7" s="20" t="str">
        <x:f>IF(H7="","not_run",IF(ABS(I7)&lt;=2,"within_2m","review"))</x:f>
        <x:v>not_run</x:v>
      </x:c>
      <x:c r="K7" s="20"/>
    </x:row>
    <x:row r="8">
      <x:c r="A8" s="20" t="str">
        <x:v>S4</x:v>
      </x:c>
      <x:c r="B8" s="20" t="str">
        <x:v>A1 诊断镜</x:v>
      </x:c>
      <x:c r="C8" s="20" t="n">
        <x:v>32</x:v>
      </x:c>
      <x:c r="D8" s="20" t="n">
        <x:v>52</x:v>
      </x:c>
      <x:c r="E8" s="20" t="n">
        <x:v>20</x:v>
      </x:c>
      <x:c r="F8" s="20"/>
      <x:c r="G8" s="20"/>
      <x:c r="H8" s="20" t="str">
        <x:f>IF(OR(F8="",G8=""),"",G8-F8)</x:f>
      </x:c>
      <x:c r="I8" s="20" t="str">
        <x:f>IF(H8="","",H8-E8)</x:f>
      </x:c>
      <x:c r="J8" s="20" t="str">
        <x:f>IF(H8="","not_run",IF(ABS(I8)&lt;=2,"within_2m","review"))</x:f>
        <x:v>not_run</x:v>
      </x:c>
      <x:c r="K8" s="20"/>
    </x:row>
    <x:row r="9">
      <x:c r="A9" s="20" t="str">
        <x:v>S5</x:v>
      </x:c>
      <x:c r="B9" s="20" t="str">
        <x:v>B1 诊断镜</x:v>
      </x:c>
      <x:c r="C9" s="20" t="n">
        <x:v>52</x:v>
      </x:c>
      <x:c r="D9" s="20" t="n">
        <x:v>72</x:v>
      </x:c>
      <x:c r="E9" s="20" t="n">
        <x:v>20</x:v>
      </x:c>
      <x:c r="F9" s="20"/>
      <x:c r="G9" s="20"/>
      <x:c r="H9" s="20" t="str">
        <x:f>IF(OR(F9="",G9=""),"",G9-F9)</x:f>
      </x:c>
      <x:c r="I9" s="20" t="str">
        <x:f>IF(H9="","",H9-E9)</x:f>
      </x:c>
      <x:c r="J9" s="20" t="str">
        <x:f>IF(H9="","not_run",IF(ABS(I9)&lt;=2,"within_2m","review"))</x:f>
        <x:v>not_run</x:v>
      </x:c>
      <x:c r="K9" s="20"/>
    </x:row>
    <x:row r="10">
      <x:c r="A10" s="20" t="str">
        <x:v>S6</x:v>
      </x:c>
      <x:c r="B10" s="20" t="str">
        <x:v>C4 诊断镜</x:v>
      </x:c>
      <x:c r="C10" s="20" t="n">
        <x:v>72</x:v>
      </x:c>
      <x:c r="D10" s="20" t="n">
        <x:v>92</x:v>
      </x:c>
      <x:c r="E10" s="20" t="n">
        <x:v>20</x:v>
      </x:c>
      <x:c r="F10" s="20"/>
      <x:c r="G10" s="20"/>
      <x:c r="H10" s="20" t="str">
        <x:f>IF(OR(F10="",G10=""),"",G10-F10)</x:f>
      </x:c>
      <x:c r="I10" s="20" t="str">
        <x:f>IF(H10="","",H10-E10)</x:f>
      </x:c>
      <x:c r="J10" s="20" t="str">
        <x:f>IF(H10="","not_run",IF(ABS(I10)&lt;=2,"within_2m","review"))</x:f>
        <x:v>not_run</x:v>
      </x:c>
      <x:c r="K10" s="20"/>
    </x:row>
    <x:row r="11">
      <x:c r="A11" s="20" t="str">
        <x:v>S7</x:v>
      </x:c>
      <x:c r="B11" s="20" t="str">
        <x:v>起点卡 v2</x:v>
      </x:c>
      <x:c r="C11" s="20" t="n">
        <x:v>92</x:v>
      </x:c>
      <x:c r="D11" s="20" t="n">
        <x:v>108</x:v>
      </x:c>
      <x:c r="E11" s="20" t="n">
        <x:v>16</x:v>
      </x:c>
      <x:c r="F11" s="20"/>
      <x:c r="G11" s="20"/>
      <x:c r="H11" s="20" t="str">
        <x:f>IF(OR(F11="",G11=""),"",G11-F11)</x:f>
      </x:c>
      <x:c r="I11" s="20" t="str">
        <x:f>IF(H11="","",H11-E11)</x:f>
      </x:c>
      <x:c r="J11" s="20" t="str">
        <x:f>IF(H11="","not_run",IF(ABS(I11)&lt;=2,"within_2m","review"))</x:f>
        <x:v>not_run</x:v>
      </x:c>
      <x:c r="K11" s="20"/>
    </x:row>
    <x:row r="12">
      <x:c r="A12" s="20" t="str">
        <x:v>S8</x:v>
      </x:c>
      <x:c r="B12" s="20" t="str">
        <x:v>同伴互证</x:v>
      </x:c>
      <x:c r="C12" s="20" t="n">
        <x:v>108</x:v>
      </x:c>
      <x:c r="D12" s="20" t="n">
        <x:v>116</x:v>
      </x:c>
      <x:c r="E12" s="20" t="n">
        <x:v>8</x:v>
      </x:c>
      <x:c r="F12" s="20"/>
      <x:c r="G12" s="20"/>
      <x:c r="H12" s="20" t="str">
        <x:f>IF(OR(F12="",G12=""),"",G12-F12)</x:f>
      </x:c>
      <x:c r="I12" s="20" t="str">
        <x:f>IF(H12="","",H12-E12)</x:f>
      </x:c>
      <x:c r="J12" s="20" t="str">
        <x:f>IF(H12="","not_run",IF(ABS(I12)&lt;=2,"within_2m","review"))</x:f>
        <x:v>not_run</x:v>
      </x:c>
      <x:c r="K12" s="20"/>
    </x:row>
    <x:row r="13">
      <x:c r="A13" s="20" t="str">
        <x:v>S9</x:v>
      </x:c>
      <x:c r="B13" s="20" t="str">
        <x:v>迁移收口</x:v>
      </x:c>
      <x:c r="C13" s="20" t="n">
        <x:v>116</x:v>
      </x:c>
      <x:c r="D13" s="20" t="n">
        <x:v>120</x:v>
      </x:c>
      <x:c r="E13" s="20" t="n">
        <x:v>4</x:v>
      </x:c>
      <x:c r="F13" s="20"/>
      <x:c r="G13" s="20"/>
      <x:c r="H13" s="20" t="str">
        <x:f>IF(OR(F13="",G13=""),"",G13-F13)</x:f>
      </x:c>
      <x:c r="I13" s="20" t="str">
        <x:f>IF(H13="","",H13-E13)</x:f>
      </x:c>
      <x:c r="J13" s="20" t="str">
        <x:f>IF(H13="","not_run",IF(ABS(I13)&lt;=2,"within_2m","review"))</x:f>
        <x:v>not_run</x:v>
      </x:c>
      <x:c r="K13" s="20"/>
    </x:row>
    <x:row r="15">
      <x:c r="A15" s="30" t="str">
        <x:v>误解 / 用户语言 / 弧光反应 / 节奏断点记录（匿名）</x:v>
      </x:c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7" ht="30" customHeight="1">
      <x:c r="A17" s="13" t="str">
        <x:v>类型</x:v>
      </x:c>
      <x:c r="B17" s="13" t="str">
        <x:v>时码</x:v>
      </x:c>
      <x:c r="C17" s="13" t="str">
        <x:v>匿名观察</x:v>
      </x:c>
      <x:c r="D17" s="13" t="str">
        <x:v>对学习的影响</x:v>
      </x:c>
      <x:c r="E17" s="13" t="str">
        <x:v>下一轮处理</x:v>
      </x:c>
    </x:row>
    <x:row r="18">
      <x:c r="A18" s="19"/>
      <x:c r="B18" s="19"/>
      <x:c r="C18" s="19"/>
      <x:c r="D18" s="19"/>
      <x:c r="E18" s="19"/>
    </x:row>
    <x:row r="19">
      <x:c r="A19" s="20"/>
      <x:c r="B19" s="20"/>
      <x:c r="C19" s="20"/>
      <x:c r="D19" s="20"/>
      <x:c r="E19" s="20"/>
    </x:row>
    <x:row r="20">
      <x:c r="A20" s="20"/>
      <x:c r="B20" s="20"/>
      <x:c r="C20" s="20"/>
      <x:c r="D20" s="20"/>
      <x:c r="E20" s="20"/>
    </x:row>
    <x:row r="21">
      <x:c r="A21" s="20"/>
      <x:c r="B21" s="20"/>
      <x:c r="C21" s="20"/>
      <x:c r="D21" s="20"/>
      <x:c r="E21" s="20"/>
    </x:row>
    <x:row r="22">
      <x:c r="A22" s="20"/>
      <x:c r="B22" s="20"/>
      <x:c r="C22" s="20"/>
      <x:c r="D22" s="20"/>
      <x:c r="E22" s="20"/>
    </x:row>
  </x:sheetData>
  <x:mergeCells>
    <x:mergeCell ref="A1:K1"/>
    <x:mergeCell ref="A2:K2"/>
    <x:mergeCell ref="A15:K15"/>
  </x:mergeCells>
  <x:conditionalFormatting sqref="J5:J13">
    <x:cfRule type="containsText" dxfId="4" priority="1" operator="containsText" text="review"/>
  </x:conditionalFormatting>
  <x:dataValidations count="1">
    <x:dataValidation type="list" sqref="A18:A22">
      <x:formula1>"误解,用户语言候选,弧光反应,节奏断点"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4" hidden="0" customWidth="1"/>
    <x:col min="4" max="4" width="14" hidden="0" customWidth="1"/>
    <x:col min="5" max="5" width="14" hidden="0" customWidth="1"/>
    <x:col min="6" max="6" width="29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32" customHeight="1">
      <x:c r="A1" s="3" t="str">
        <x:v>七天迁移证据记录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只写匿名、可回读的证据指针；第 5–7 行是 synthetic_example，不进入真实迁移率。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3" t="str">
        <x:v>记录类型</x:v>
      </x:c>
      <x:c r="B4" s="13" t="str">
        <x:v>班级</x:v>
      </x:c>
      <x:c r="C4" s="13" t="str">
        <x:v>匿名 ID</x:v>
      </x:c>
      <x:c r="D4" s="13" t="str">
        <x:v>工作坊日期</x:v>
      </x:c>
      <x:c r="E4" s="13" t="str">
        <x:v>提交日期</x:v>
      </x:c>
      <x:c r="F4" s="13" t="str">
        <x:v>行动证据指针</x:v>
      </x:c>
      <x:c r="G4" s="13" t="str">
        <x:v>七天内</x:v>
      </x:c>
      <x:c r="H4" s="13" t="str">
        <x:v>证据质量</x:v>
      </x:c>
      <x:c r="I4" s="13" t="str">
        <x:v>作用</x:v>
      </x:c>
      <x:c r="J4" s="13" t="str">
        <x:v>有效证据</x:v>
      </x:c>
      <x:c r="K4" s="13" t="str">
        <x:v>纳入真实验收</x:v>
      </x:c>
    </x:row>
    <x:row r="5">
      <x:c r="A5" s="28" t="str">
        <x:v>synthetic_example</x:v>
      </x:c>
      <x:c r="B5" s="28" t="str">
        <x:v>SYNTHETIC_DEMO</x:v>
      </x:c>
      <x:c r="C5" s="28" t="str">
        <x:v>SYN-01</x:v>
      </x:c>
      <x:c r="D5" s="31" t="n">
        <x:v>46223</x:v>
      </x:c>
      <x:c r="E5" s="31" t="n">
        <x:v>46227</x:v>
      </x:c>
      <x:c r="F5" s="28" t="str">
        <x:v>synthetic://prototype-01</x:v>
      </x:c>
      <x:c r="G5" s="28" t="str">
        <x:f>IF(OR(C5="",D5="",E5=""),"",IF(E5&lt;=D5+7,"是","否"))</x:f>
        <x:v>是</x:v>
      </x:c>
      <x:c r="H5" s="28" t="str">
        <x:v>有效</x:v>
      </x:c>
      <x:c r="I5" s="28" t="str">
        <x:v>支持</x:v>
      </x:c>
      <x:c r="J5" s="28" t="str">
        <x:f>IF(C5="","",IF(AND(G5="是",H5="有效"),"是","否"))</x:f>
        <x:v>是</x:v>
      </x:c>
      <x:c r="K5" s="28" t="str">
        <x:f>IF(A5="","",IF(A5="real_anonymous","是","否"))</x:f>
        <x:v>否</x:v>
      </x:c>
    </x:row>
    <x:row r="6">
      <x:c r="A6" s="21" t="str">
        <x:v>synthetic_example</x:v>
      </x:c>
      <x:c r="B6" s="21" t="str">
        <x:v>SYNTHETIC_DEMO</x:v>
      </x:c>
      <x:c r="C6" s="21" t="str">
        <x:v>SYN-02</x:v>
      </x:c>
      <x:c r="D6" s="27" t="n">
        <x:v>46223</x:v>
      </x:c>
      <x:c r="E6" s="27" t="n">
        <x:v>46232</x:v>
      </x:c>
      <x:c r="F6" s="21" t="str">
        <x:v>synthetic://interview-02</x:v>
      </x:c>
      <x:c r="G6" s="21" t="str">
        <x:f>IF(OR(C6="",D6="",E6=""),"",IF(E6&lt;=D6+7,"是","否"))</x:f>
        <x:v>否</x:v>
      </x:c>
      <x:c r="H6" s="21" t="str">
        <x:v>有效</x:v>
      </x:c>
      <x:c r="I6" s="21" t="str">
        <x:v>削弱</x:v>
      </x:c>
      <x:c r="J6" s="21" t="str">
        <x:f>IF(C6="","",IF(AND(G6="是",H6="有效"),"是","否"))</x:f>
        <x:v>否</x:v>
      </x:c>
      <x:c r="K6" s="21" t="str">
        <x:f>IF(A6="","",IF(A6="real_anonymous","是","否"))</x:f>
        <x:v>否</x:v>
      </x:c>
    </x:row>
    <x:row r="7">
      <x:c r="A7" s="21" t="str">
        <x:v>synthetic_example</x:v>
      </x:c>
      <x:c r="B7" s="21" t="str">
        <x:v>SYNTHETIC_DEMO</x:v>
      </x:c>
      <x:c r="C7" s="21" t="str">
        <x:v>SYN-03</x:v>
      </x:c>
      <x:c r="D7" s="27" t="n">
        <x:v>46223</x:v>
      </x:c>
      <x:c r="E7" s="27" t="n">
        <x:v>46228</x:v>
      </x:c>
      <x:c r="F7" s="21" t="str">
        <x:v>synthetic://reflection-only</x:v>
      </x:c>
      <x:c r="G7" s="21" t="str">
        <x:f>IF(OR(C7="",D7="",E7=""),"",IF(E7&lt;=D7+7,"是","否"))</x:f>
        <x:v>是</x:v>
      </x:c>
      <x:c r="H7" s="21" t="str">
        <x:v>无效</x:v>
      </x:c>
      <x:c r="I7" s="21" t="str">
        <x:v>不适用</x:v>
      </x:c>
      <x:c r="J7" s="21" t="str">
        <x:f>IF(C7="","",IF(AND(G7="是",H7="有效"),"是","否"))</x:f>
        <x:v>否</x:v>
      </x:c>
      <x:c r="K7" s="21" t="str">
        <x:f>IF(A7="","",IF(A7="real_anonymous","是","否"))</x:f>
        <x:v>否</x:v>
      </x:c>
    </x:row>
    <x:row r="8">
      <x:c r="A8" s="20"/>
      <x:c r="B8" s="20"/>
      <x:c r="C8" s="20"/>
      <x:c r="D8" s="26"/>
      <x:c r="E8" s="26"/>
      <x:c r="F8" s="20"/>
      <x:c r="G8" s="20" t="str">
        <x:f>IF(OR(C8="",D8="",E8=""),"",IF(E8&lt;=D8+7,"是","否"))</x:f>
      </x:c>
      <x:c r="H8" s="20"/>
      <x:c r="I8" s="20"/>
      <x:c r="J8" s="20" t="str">
        <x:f>IF(C8="","",IF(AND(G8="是",H8="有效"),"是","否"))</x:f>
      </x:c>
      <x:c r="K8" s="20" t="str">
        <x:f>IF(A8="","",IF(A8="real_anonymous","是","否"))</x:f>
      </x:c>
    </x:row>
    <x:row r="9">
      <x:c r="A9" s="20"/>
      <x:c r="B9" s="20"/>
      <x:c r="C9" s="20"/>
      <x:c r="D9" s="26"/>
      <x:c r="E9" s="26"/>
      <x:c r="F9" s="20"/>
      <x:c r="G9" s="20" t="str">
        <x:f>IF(OR(C9="",D9="",E9=""),"",IF(E9&lt;=D9+7,"是","否"))</x:f>
      </x:c>
      <x:c r="H9" s="20"/>
      <x:c r="I9" s="20"/>
      <x:c r="J9" s="20" t="str">
        <x:f>IF(C9="","",IF(AND(G9="是",H9="有效"),"是","否"))</x:f>
      </x:c>
      <x:c r="K9" s="20" t="str">
        <x:f>IF(A9="","",IF(A9="real_anonymous","是","否"))</x:f>
      </x:c>
    </x:row>
    <x:row r="10">
      <x:c r="A10" s="20"/>
      <x:c r="B10" s="20"/>
      <x:c r="C10" s="20"/>
      <x:c r="D10" s="26"/>
      <x:c r="E10" s="26"/>
      <x:c r="F10" s="20"/>
      <x:c r="G10" s="20" t="str">
        <x:f>IF(OR(C10="",D10="",E10=""),"",IF(E10&lt;=D10+7,"是","否"))</x:f>
      </x:c>
      <x:c r="H10" s="20"/>
      <x:c r="I10" s="20"/>
      <x:c r="J10" s="20" t="str">
        <x:f>IF(C10="","",IF(AND(G10="是",H10="有效"),"是","否"))</x:f>
      </x:c>
      <x:c r="K10" s="20" t="str">
        <x:f>IF(A10="","",IF(A10="real_anonymous","是","否"))</x:f>
      </x:c>
    </x:row>
    <x:row r="11">
      <x:c r="A11" s="20"/>
      <x:c r="B11" s="20"/>
      <x:c r="C11" s="20"/>
      <x:c r="D11" s="26"/>
      <x:c r="E11" s="26"/>
      <x:c r="F11" s="20"/>
      <x:c r="G11" s="20" t="str">
        <x:f>IF(OR(C11="",D11="",E11=""),"",IF(E11&lt;=D11+7,"是","否"))</x:f>
      </x:c>
      <x:c r="H11" s="20"/>
      <x:c r="I11" s="20"/>
      <x:c r="J11" s="20" t="str">
        <x:f>IF(C11="","",IF(AND(G11="是",H11="有效"),"是","否"))</x:f>
      </x:c>
      <x:c r="K11" s="20" t="str">
        <x:f>IF(A11="","",IF(A11="real_anonymous","是","否"))</x:f>
      </x:c>
    </x:row>
    <x:row r="12">
      <x:c r="A12" s="20"/>
      <x:c r="B12" s="20"/>
      <x:c r="C12" s="20"/>
      <x:c r="D12" s="26"/>
      <x:c r="E12" s="26"/>
      <x:c r="F12" s="20"/>
      <x:c r="G12" s="20" t="str">
        <x:f>IF(OR(C12="",D12="",E12=""),"",IF(E12&lt;=D12+7,"是","否"))</x:f>
      </x:c>
      <x:c r="H12" s="20"/>
      <x:c r="I12" s="20"/>
      <x:c r="J12" s="20" t="str">
        <x:f>IF(C12="","",IF(AND(G12="是",H12="有效"),"是","否"))</x:f>
      </x:c>
      <x:c r="K12" s="20" t="str">
        <x:f>IF(A12="","",IF(A12="real_anonymous","是","否"))</x:f>
      </x:c>
    </x:row>
    <x:row r="13">
      <x:c r="A13" s="20"/>
      <x:c r="B13" s="20"/>
      <x:c r="C13" s="20"/>
      <x:c r="D13" s="26"/>
      <x:c r="E13" s="26"/>
      <x:c r="F13" s="20"/>
      <x:c r="G13" s="20" t="str">
        <x:f>IF(OR(C13="",D13="",E13=""),"",IF(E13&lt;=D13+7,"是","否"))</x:f>
      </x:c>
      <x:c r="H13" s="20"/>
      <x:c r="I13" s="20"/>
      <x:c r="J13" s="20" t="str">
        <x:f>IF(C13="","",IF(AND(G13="是",H13="有效"),"是","否"))</x:f>
      </x:c>
      <x:c r="K13" s="20" t="str">
        <x:f>IF(A13="","",IF(A13="real_anonymous","是","否"))</x:f>
      </x:c>
    </x:row>
    <x:row r="14">
      <x:c r="A14" s="20"/>
      <x:c r="B14" s="20"/>
      <x:c r="C14" s="20"/>
      <x:c r="D14" s="26"/>
      <x:c r="E14" s="26"/>
      <x:c r="F14" s="20"/>
      <x:c r="G14" s="20" t="str">
        <x:f>IF(OR(C14="",D14="",E14=""),"",IF(E14&lt;=D14+7,"是","否"))</x:f>
      </x:c>
      <x:c r="H14" s="20"/>
      <x:c r="I14" s="20"/>
      <x:c r="J14" s="20" t="str">
        <x:f>IF(C14="","",IF(AND(G14="是",H14="有效"),"是","否"))</x:f>
      </x:c>
      <x:c r="K14" s="20" t="str">
        <x:f>IF(A14="","",IF(A14="real_anonymous","是","否"))</x:f>
      </x:c>
    </x:row>
    <x:row r="15">
      <x:c r="A15" s="20"/>
      <x:c r="B15" s="20"/>
      <x:c r="C15" s="20"/>
      <x:c r="D15" s="26"/>
      <x:c r="E15" s="26"/>
      <x:c r="F15" s="20"/>
      <x:c r="G15" s="20" t="str">
        <x:f>IF(OR(C15="",D15="",E15=""),"",IF(E15&lt;=D15+7,"是","否"))</x:f>
      </x:c>
      <x:c r="H15" s="20"/>
      <x:c r="I15" s="20"/>
      <x:c r="J15" s="20" t="str">
        <x:f>IF(C15="","",IF(AND(G15="是",H15="有效"),"是","否"))</x:f>
      </x:c>
      <x:c r="K15" s="20" t="str">
        <x:f>IF(A15="","",IF(A15="real_anonymous","是","否"))</x:f>
      </x:c>
    </x:row>
    <x:row r="16">
      <x:c r="A16" s="20"/>
      <x:c r="B16" s="20"/>
      <x:c r="C16" s="20"/>
      <x:c r="D16" s="26"/>
      <x:c r="E16" s="26"/>
      <x:c r="F16" s="20"/>
      <x:c r="G16" s="20" t="str">
        <x:f>IF(OR(C16="",D16="",E16=""),"",IF(E16&lt;=D16+7,"是","否"))</x:f>
      </x:c>
      <x:c r="H16" s="20"/>
      <x:c r="I16" s="20"/>
      <x:c r="J16" s="20" t="str">
        <x:f>IF(C16="","",IF(AND(G16="是",H16="有效"),"是","否"))</x:f>
      </x:c>
      <x:c r="K16" s="20" t="str">
        <x:f>IF(A16="","",IF(A16="real_anonymous","是","否"))</x:f>
      </x:c>
    </x:row>
    <x:row r="17">
      <x:c r="A17" s="20"/>
      <x:c r="B17" s="20"/>
      <x:c r="C17" s="20"/>
      <x:c r="D17" s="26"/>
      <x:c r="E17" s="26"/>
      <x:c r="F17" s="20"/>
      <x:c r="G17" s="20" t="str">
        <x:f>IF(OR(C17="",D17="",E17=""),"",IF(E17&lt;=D17+7,"是","否"))</x:f>
      </x:c>
      <x:c r="H17" s="20"/>
      <x:c r="I17" s="20"/>
      <x:c r="J17" s="20" t="str">
        <x:f>IF(C17="","",IF(AND(G17="是",H17="有效"),"是","否"))</x:f>
      </x:c>
      <x:c r="K17" s="20" t="str">
        <x:f>IF(A17="","",IF(A17="real_anonymous","是","否"))</x:f>
      </x:c>
    </x:row>
    <x:row r="18">
      <x:c r="A18" s="20"/>
      <x:c r="B18" s="20"/>
      <x:c r="C18" s="20"/>
      <x:c r="D18" s="26"/>
      <x:c r="E18" s="26"/>
      <x:c r="F18" s="20"/>
      <x:c r="G18" s="20" t="str">
        <x:f>IF(OR(C18="",D18="",E18=""),"",IF(E18&lt;=D18+7,"是","否"))</x:f>
      </x:c>
      <x:c r="H18" s="20"/>
      <x:c r="I18" s="20"/>
      <x:c r="J18" s="20" t="str">
        <x:f>IF(C18="","",IF(AND(G18="是",H18="有效"),"是","否"))</x:f>
      </x:c>
      <x:c r="K18" s="20" t="str">
        <x:f>IF(A18="","",IF(A18="real_anonymous","是","否"))</x:f>
      </x:c>
    </x:row>
    <x:row r="19">
      <x:c r="A19" s="20"/>
      <x:c r="B19" s="20"/>
      <x:c r="C19" s="20"/>
      <x:c r="D19" s="26"/>
      <x:c r="E19" s="26"/>
      <x:c r="F19" s="20"/>
      <x:c r="G19" s="20" t="str">
        <x:f>IF(OR(C19="",D19="",E19=""),"",IF(E19&lt;=D19+7,"是","否"))</x:f>
      </x:c>
      <x:c r="H19" s="20"/>
      <x:c r="I19" s="20"/>
      <x:c r="J19" s="20" t="str">
        <x:f>IF(C19="","",IF(AND(G19="是",H19="有效"),"是","否"))</x:f>
      </x:c>
      <x:c r="K19" s="20" t="str">
        <x:f>IF(A19="","",IF(A19="real_anonymous","是","否"))</x:f>
      </x:c>
    </x:row>
    <x:row r="20">
      <x:c r="A20" s="20"/>
      <x:c r="B20" s="20"/>
      <x:c r="C20" s="20"/>
      <x:c r="D20" s="26"/>
      <x:c r="E20" s="26"/>
      <x:c r="F20" s="20"/>
      <x:c r="G20" s="20" t="str">
        <x:f>IF(OR(C20="",D20="",E20=""),"",IF(E20&lt;=D20+7,"是","否"))</x:f>
      </x:c>
      <x:c r="H20" s="20"/>
      <x:c r="I20" s="20"/>
      <x:c r="J20" s="20" t="str">
        <x:f>IF(C20="","",IF(AND(G20="是",H20="有效"),"是","否"))</x:f>
      </x:c>
      <x:c r="K20" s="20" t="str">
        <x:f>IF(A20="","",IF(A20="real_anonymous","是","否"))</x:f>
      </x:c>
    </x:row>
    <x:row r="21">
      <x:c r="A21" s="20"/>
      <x:c r="B21" s="20"/>
      <x:c r="C21" s="20"/>
      <x:c r="D21" s="26"/>
      <x:c r="E21" s="26"/>
      <x:c r="F21" s="20"/>
      <x:c r="G21" s="20" t="str">
        <x:f>IF(OR(C21="",D21="",E21=""),"",IF(E21&lt;=D21+7,"是","否"))</x:f>
      </x:c>
      <x:c r="H21" s="20"/>
      <x:c r="I21" s="20"/>
      <x:c r="J21" s="20" t="str">
        <x:f>IF(C21="","",IF(AND(G21="是",H21="有效"),"是","否"))</x:f>
      </x:c>
      <x:c r="K21" s="20" t="str">
        <x:f>IF(A21="","",IF(A21="real_anonymous","是","否"))</x:f>
      </x:c>
    </x:row>
    <x:row r="22">
      <x:c r="A22" s="20"/>
      <x:c r="B22" s="20"/>
      <x:c r="C22" s="20"/>
      <x:c r="D22" s="26"/>
      <x:c r="E22" s="26"/>
      <x:c r="F22" s="20"/>
      <x:c r="G22" s="20" t="str">
        <x:f>IF(OR(C22="",D22="",E22=""),"",IF(E22&lt;=D22+7,"是","否"))</x:f>
      </x:c>
      <x:c r="H22" s="20"/>
      <x:c r="I22" s="20"/>
      <x:c r="J22" s="20" t="str">
        <x:f>IF(C22="","",IF(AND(G22="是",H22="有效"),"是","否"))</x:f>
      </x:c>
      <x:c r="K22" s="20" t="str">
        <x:f>IF(A22="","",IF(A22="real_anonymous","是","否"))</x:f>
      </x:c>
    </x:row>
    <x:row r="23">
      <x:c r="A23" s="20"/>
      <x:c r="B23" s="20"/>
      <x:c r="C23" s="20"/>
      <x:c r="D23" s="26"/>
      <x:c r="E23" s="26"/>
      <x:c r="F23" s="20"/>
      <x:c r="G23" s="20" t="str">
        <x:f>IF(OR(C23="",D23="",E23=""),"",IF(E23&lt;=D23+7,"是","否"))</x:f>
      </x:c>
      <x:c r="H23" s="20"/>
      <x:c r="I23" s="20"/>
      <x:c r="J23" s="20" t="str">
        <x:f>IF(C23="","",IF(AND(G23="是",H23="有效"),"是","否"))</x:f>
      </x:c>
      <x:c r="K23" s="20" t="str">
        <x:f>IF(A23="","",IF(A23="real_anonymous","是","否"))</x:f>
      </x:c>
    </x:row>
    <x:row r="24">
      <x:c r="A24" s="20"/>
      <x:c r="B24" s="20"/>
      <x:c r="C24" s="20"/>
      <x:c r="D24" s="26"/>
      <x:c r="E24" s="26"/>
      <x:c r="F24" s="20"/>
      <x:c r="G24" s="20" t="str">
        <x:f>IF(OR(C24="",D24="",E24=""),"",IF(E24&lt;=D24+7,"是","否"))</x:f>
      </x:c>
      <x:c r="H24" s="20"/>
      <x:c r="I24" s="20"/>
      <x:c r="J24" s="20" t="str">
        <x:f>IF(C24="","",IF(AND(G24="是",H24="有效"),"是","否"))</x:f>
      </x:c>
      <x:c r="K24" s="20" t="str">
        <x:f>IF(A24="","",IF(A24="real_anonymous","是","否"))</x:f>
      </x:c>
    </x:row>
    <x:row r="25">
      <x:c r="A25" s="20"/>
      <x:c r="B25" s="20"/>
      <x:c r="C25" s="20"/>
      <x:c r="D25" s="26"/>
      <x:c r="E25" s="26"/>
      <x:c r="F25" s="20"/>
      <x:c r="G25" s="20" t="str">
        <x:f>IF(OR(C25="",D25="",E25=""),"",IF(E25&lt;=D25+7,"是","否"))</x:f>
      </x:c>
      <x:c r="H25" s="20"/>
      <x:c r="I25" s="20"/>
      <x:c r="J25" s="20" t="str">
        <x:f>IF(C25="","",IF(AND(G25="是",H25="有效"),"是","否"))</x:f>
      </x:c>
      <x:c r="K25" s="20" t="str">
        <x:f>IF(A25="","",IF(A25="real_anonymous","是","否"))</x:f>
      </x:c>
    </x:row>
    <x:row r="26">
      <x:c r="A26" s="20"/>
      <x:c r="B26" s="20"/>
      <x:c r="C26" s="20"/>
      <x:c r="D26" s="26"/>
      <x:c r="E26" s="26"/>
      <x:c r="F26" s="20"/>
      <x:c r="G26" s="20" t="str">
        <x:f>IF(OR(C26="",D26="",E26=""),"",IF(E26&lt;=D26+7,"是","否"))</x:f>
      </x:c>
      <x:c r="H26" s="20"/>
      <x:c r="I26" s="20"/>
      <x:c r="J26" s="20" t="str">
        <x:f>IF(C26="","",IF(AND(G26="是",H26="有效"),"是","否"))</x:f>
      </x:c>
      <x:c r="K26" s="20" t="str">
        <x:f>IF(A26="","",IF(A26="real_anonymous","是","否"))</x:f>
      </x:c>
    </x:row>
    <x:row r="27">
      <x:c r="A27" s="20"/>
      <x:c r="B27" s="20"/>
      <x:c r="C27" s="20"/>
      <x:c r="D27" s="26"/>
      <x:c r="E27" s="26"/>
      <x:c r="F27" s="20"/>
      <x:c r="G27" s="20" t="str">
        <x:f>IF(OR(C27="",D27="",E27=""),"",IF(E27&lt;=D27+7,"是","否"))</x:f>
      </x:c>
      <x:c r="H27" s="20"/>
      <x:c r="I27" s="20"/>
      <x:c r="J27" s="20" t="str">
        <x:f>IF(C27="","",IF(AND(G27="是",H27="有效"),"是","否"))</x:f>
      </x:c>
      <x:c r="K27" s="20" t="str">
        <x:f>IF(A27="","",IF(A27="real_anonymous","是","否"))</x:f>
      </x:c>
    </x:row>
    <x:row r="28">
      <x:c r="A28" s="20"/>
      <x:c r="B28" s="20"/>
      <x:c r="C28" s="20"/>
      <x:c r="D28" s="26"/>
      <x:c r="E28" s="26"/>
      <x:c r="F28" s="20"/>
      <x:c r="G28" s="20" t="str">
        <x:f>IF(OR(C28="",D28="",E28=""),"",IF(E28&lt;=D28+7,"是","否"))</x:f>
      </x:c>
      <x:c r="H28" s="20"/>
      <x:c r="I28" s="20"/>
      <x:c r="J28" s="20" t="str">
        <x:f>IF(C28="","",IF(AND(G28="是",H28="有效"),"是","否"))</x:f>
      </x:c>
      <x:c r="K28" s="20" t="str">
        <x:f>IF(A28="","",IF(A28="real_anonymous","是","否"))</x:f>
      </x:c>
    </x:row>
    <x:row r="29">
      <x:c r="A29" s="20"/>
      <x:c r="B29" s="20"/>
      <x:c r="C29" s="20"/>
      <x:c r="D29" s="26"/>
      <x:c r="E29" s="26"/>
      <x:c r="F29" s="20"/>
      <x:c r="G29" s="20" t="str">
        <x:f>IF(OR(C29="",D29="",E29=""),"",IF(E29&lt;=D29+7,"是","否"))</x:f>
      </x:c>
      <x:c r="H29" s="20"/>
      <x:c r="I29" s="20"/>
      <x:c r="J29" s="20" t="str">
        <x:f>IF(C29="","",IF(AND(G29="是",H29="有效"),"是","否"))</x:f>
      </x:c>
      <x:c r="K29" s="20" t="str">
        <x:f>IF(A29="","",IF(A29="real_anonymous","是","否"))</x:f>
      </x:c>
    </x:row>
    <x:row r="30">
      <x:c r="A30" s="20"/>
      <x:c r="B30" s="20"/>
      <x:c r="C30" s="20"/>
      <x:c r="D30" s="26"/>
      <x:c r="E30" s="26"/>
      <x:c r="F30" s="20"/>
      <x:c r="G30" s="20" t="str">
        <x:f>IF(OR(C30="",D30="",E30=""),"",IF(E30&lt;=D30+7,"是","否"))</x:f>
      </x:c>
      <x:c r="H30" s="20"/>
      <x:c r="I30" s="20"/>
      <x:c r="J30" s="20" t="str">
        <x:f>IF(C30="","",IF(AND(G30="是",H30="有效"),"是","否"))</x:f>
      </x:c>
      <x:c r="K30" s="20" t="str">
        <x:f>IF(A30="","",IF(A30="real_anonymous","是","否"))</x:f>
      </x:c>
    </x:row>
    <x:row r="31">
      <x:c r="A31" s="20"/>
      <x:c r="B31" s="20"/>
      <x:c r="C31" s="20"/>
      <x:c r="D31" s="26"/>
      <x:c r="E31" s="26"/>
      <x:c r="F31" s="20"/>
      <x:c r="G31" s="20" t="str">
        <x:f>IF(OR(C31="",D31="",E31=""),"",IF(E31&lt;=D31+7,"是","否"))</x:f>
      </x:c>
      <x:c r="H31" s="20"/>
      <x:c r="I31" s="20"/>
      <x:c r="J31" s="20" t="str">
        <x:f>IF(C31="","",IF(AND(G31="是",H31="有效"),"是","否"))</x:f>
      </x:c>
      <x:c r="K31" s="20" t="str">
        <x:f>IF(A31="","",IF(A31="real_anonymous","是","否"))</x:f>
      </x:c>
    </x:row>
  </x:sheetData>
  <x:mergeCells>
    <x:mergeCell ref="A1:K1"/>
    <x:mergeCell ref="A2:K2"/>
  </x:mergeCells>
  <x:dataValidations count="4">
    <x:dataValidation type="list" sqref="A5:A31">
      <x:formula1>"real_anonymous,synthetic_example"</x:formula1>
    </x:dataValidation>
    <x:dataValidation type="list" sqref="B5:B31">
      <x:formula1>"第一班,第二班,SYNTHETIC_DEMO"</x:formula1>
    </x:dataValidation>
    <x:dataValidation type="list" sqref="H5:H31">
      <x:formula1>"有效,无效,未提交"</x:formula1>
    </x:dataValidation>
    <x:dataValidation type="list" sqref="I5:I31">
      <x:formula1>"支持,削弱,推翻,不适用"</x:formula1>
    </x:dataValidation>
  </x:dataValidations>
  <x:pageMargins left="0.7" right="0.7" top="0.75" bottom="0.75" header="0.3" footer="0.3"/>
  <x:legacyDrawing xmlns:r="http://schemas.openxmlformats.org/officeDocument/2006/relationships" r:id="Rd3bfda6f7659487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52" hidden="0" customWidth="1"/>
    <x:col min="4" max="4" width="22" hidden="0" customWidth="1"/>
    <x:col min="5" max="5" width="22" hidden="0" customWidth="1"/>
    <x:col min="6" max="6" width="20" hidden="0" customWidth="1"/>
  </x:cols>
  <x:sheetData>
    <x:row r="1" ht="32" customHeight="1">
      <x:c r="A1" s="3" t="str">
        <x:v>使用说明与验收边界</x:v>
      </x:c>
      <x:c r="B1" s="3"/>
      <x:c r="C1" s="3"/>
      <x:c r="D1" s="3"/>
      <x:c r="E1" s="3"/>
      <x:c r="F1" s="3"/>
    </x:row>
    <x:row r="2" ht="34" customHeight="1">
      <x:c r="A2" s="7" t="str">
        <x:v>本工作簿是观察与计算工具，不替代真实课堂、参与者授权、明哥裁决或发布确认。</x:v>
      </x:c>
      <x:c r="B2" s="7"/>
      <x:c r="C2" s="7"/>
      <x:c r="D2" s="7"/>
      <x:c r="E2" s="7"/>
      <x:c r="F2" s="7"/>
    </x:row>
    <x:row r="4" ht="30" customHeight="1">
      <x:c r="A4" s="13" t="str">
        <x:v>序号</x:v>
      </x:c>
      <x:c r="B4" s="13" t="str">
        <x:v>主题</x:v>
      </x:c>
      <x:c r="C4" s="13" t="str">
        <x:v>规则</x:v>
      </x:c>
      <x:c r="D4" s="13" t="str">
        <x:v>自动计算</x:v>
      </x:c>
      <x:c r="E4" s="13" t="str">
        <x:v>当前状态</x:v>
      </x:c>
      <x:c r="F4" s="13" t="str">
        <x:v>人工门</x:v>
      </x:c>
    </x:row>
    <x:row r="5">
      <x:c r="A5" s="19" t="n">
        <x:v>1</x:v>
      </x:c>
      <x:c r="B5" s="19" t="str">
        <x:v>两事实率</x:v>
      </x:c>
      <x:c r="C5" s="19" t="str">
        <x:v>两条事实评分必须为 2；分母为该班匿名真实记录数。</x:v>
      </x:c>
      <x:c r="D5" s="19" t="str">
        <x:v>班级总览 F 列</x:v>
      </x:c>
      <x:c r="E5" s="19" t="str">
        <x:v>live_trial_pending</x:v>
      </x:c>
      <x:c r="F5" s="19" t="str">
        <x:v>课堂真实性</x:v>
      </x:c>
    </x:row>
    <x:row r="6">
      <x:c r="A6" s="20" t="n">
        <x:v>2</x:v>
      </x:c>
      <x:c r="B6" s="20" t="str">
        <x:v>8/10 达标率</x:v>
      </x:c>
      <x:c r="C6" s="20" t="str">
        <x:v>五项各 0–2 分，总分至少 8。</x:v>
      </x:c>
      <x:c r="D6" s="20" t="str">
        <x:v>班级总览 H 列</x:v>
      </x:c>
      <x:c r="E6" s="20" t="str">
        <x:v>live_trial_pending</x:v>
      </x:c>
      <x:c r="F6" s="20" t="str">
        <x:v>评分复核</x:v>
      </x:c>
    </x:row>
    <x:row r="7">
      <x:c r="A7" s="20" t="n">
        <x:v>3</x:v>
      </x:c>
      <x:c r="B7" s="20" t="str">
        <x:v>七天有效证据率</x:v>
      </x:c>
      <x:c r="C7" s="20" t="str">
        <x:v>七天内提交且证据质量为有效；分母仍为该班参与人数。</x:v>
      </x:c>
      <x:c r="D7" s="20" t="str">
        <x:v>班级总览 J 列</x:v>
      </x:c>
      <x:c r="E7" s="20" t="str">
        <x:v>live_trial_pending</x:v>
      </x:c>
      <x:c r="F7" s="20" t="str">
        <x:v>证据复核</x:v>
      </x:c>
    </x:row>
    <x:row r="8">
      <x:c r="A8" s="20" t="n">
        <x:v>4</x:v>
      </x:c>
      <x:c r="B8" s="20" t="str">
        <x:v>样本门</x:v>
      </x:c>
      <x:c r="C8" s="20" t="str">
        <x:v>两班分别 8–12 人；不得合并样本覆盖某班失败。</x:v>
      </x:c>
      <x:c r="D8" s="20" t="str">
        <x:v>班级总览 K 列</x:v>
      </x:c>
      <x:c r="E8" s="20" t="str">
        <x:v>not_run</x:v>
      </x:c>
      <x:c r="F8" s="20" t="str">
        <x:v>明哥</x:v>
      </x:c>
    </x:row>
    <x:row r="9">
      <x:c r="A9" s="20" t="n">
        <x:v>5</x:v>
      </x:c>
      <x:c r="B9" s="20" t="str">
        <x:v>合成示例</x:v>
      </x:c>
      <x:c r="C9" s="20" t="str">
        <x:v>SYNTHETIC_DEMO 只验证公式与格式，永不进入真实验收。</x:v>
      </x:c>
      <x:c r="D9" s="20" t="str">
        <x:v>按记录类型隔离</x:v>
      </x:c>
      <x:c r="E9" s="20" t="str">
        <x:v>synthetic_only</x:v>
      </x:c>
      <x:c r="F9" s="20" t="str">
        <x:v>不得改写为真实</x:v>
      </x:c>
    </x:row>
    <x:row r="10">
      <x:c r="A10" s="20" t="n">
        <x:v>6</x:v>
      </x:c>
      <x:c r="B10" s="20" t="str">
        <x:v>隐私</x:v>
      </x:c>
      <x:c r="C10" s="20" t="str">
        <x:v>仓库只保留匿名汇总；不记录姓名、公司、客户、收入与私密链接。</x:v>
      </x:c>
      <x:c r="D10" s="20" t="str">
        <x:v>无</x:v>
      </x:c>
      <x:c r="E10" s="20" t="str">
        <x:v>PII=0</x:v>
      </x:c>
      <x:c r="F10" s="20" t="str">
        <x:v>观察员</x:v>
      </x:c>
    </x:row>
    <x:row r="11">
      <x:c r="A11" s="20" t="n">
        <x:v>7</x:v>
      </x:c>
      <x:c r="B11" s="20" t="str">
        <x:v>状态纪律</x:v>
      </x:c>
      <x:c r="C11" s="20" t="str">
        <x:v>smoke / desktop_trial_pass / live_trial_pass 分开记录。</x:v>
      </x:c>
      <x:c r="D11" s="20" t="str">
        <x:v>无</x:v>
      </x:c>
      <x:c r="E11" s="20" t="str">
        <x:v>live_trial_pending</x:v>
      </x:c>
      <x:c r="F11" s="20" t="str">
        <x:v>明哥</x:v>
      </x:c>
    </x:row>
    <x:row r="12">
      <x:c r="A12" s="20" t="n">
        <x:v>8</x:v>
      </x:c>
      <x:c r="B12" s="20" t="str">
        <x:v>营销</x:v>
      </x:c>
      <x:c r="C12" s="20" t="str">
        <x:v>只能从批准正典与真实课堂证据派生；无真实时码就无现场金句。</x:v>
      </x:c>
      <x:c r="D12" s="20" t="str">
        <x:v>无</x:v>
      </x:c>
      <x:c r="E12" s="20" t="str">
        <x:v>draft_only</x:v>
      </x:c>
      <x:c r="F12" s="20" t="str">
        <x:v>正式发布确认</x:v>
      </x:c>
    </x:row>
    <x:row r="13">
      <x:c r="A13" s="20" t="n">
        <x:v>9</x:v>
      </x:c>
      <x:c r="B13" s="20" t="str">
        <x:v>小鹅通</x:v>
      </x:c>
      <x:c r="C13" s="20" t="str">
        <x:v>只创建未发布草稿；定价、分享、通知、支付、删除均未授权。</x:v>
      </x:c>
      <x:c r="D13" s="20" t="str">
        <x:v>无</x:v>
      </x:c>
      <x:c r="E13" s="20" t="str">
        <x:v>handoff_pack_ready</x:v>
      </x:c>
      <x:c r="F13" s="20" t="str">
        <x:v>逐项确认</x:v>
      </x:c>
    </x:row>
    <x:row r="14">
      <x:c r="A14" s="20" t="n">
        <x:v>10</x:v>
      </x:c>
      <x:c r="B14" s="20" t="str">
        <x:v>后续生产</x:v>
      </x:c>
      <x:c r="C14" s="20" t="str">
        <x:v>两班通过后，才生产需求最高路线的三张缺失模块课；其余六张 HOLD。</x:v>
      </x:c>
      <x:c r="D14" s="20" t="str">
        <x:v>无</x:v>
      </x:c>
      <x:c r="E14" s="20" t="str">
        <x:v>HOLD</x:v>
      </x:c>
      <x:c r="F14" s="20" t="str">
        <x:v>明哥</x:v>
      </x:c>
    </x:row>
  </x:sheetData>
  <x:mergeCells>
    <x:mergeCell ref="A1:F1"/>
    <x:mergeCell ref="A2:F2"/>
  </x:mergeCells>
  <x:pageMargins left="0.7" right="0.7" top="0.75" bottom="0.75" header="0.3" footer="0.3"/>
</x:worksheet>
</file>